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Financial Model-practice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B92" i="1"/>
  <c r="B91"/>
  <c r="C76"/>
  <c r="E75"/>
  <c r="E74"/>
  <c r="E73"/>
  <c r="E72"/>
  <c r="E71"/>
  <c r="E86" s="1"/>
  <c r="D75"/>
  <c r="D74"/>
  <c r="D73"/>
  <c r="D72"/>
  <c r="D71"/>
  <c r="J64"/>
  <c r="J67" s="1"/>
  <c r="J68" s="1"/>
  <c r="I64"/>
  <c r="I67" s="1"/>
  <c r="I68" s="1"/>
  <c r="H64"/>
  <c r="H67" s="1"/>
  <c r="H68" s="1"/>
  <c r="G64"/>
  <c r="G67" s="1"/>
  <c r="G68" s="1"/>
  <c r="F64"/>
  <c r="F67" s="1"/>
  <c r="F68" s="1"/>
  <c r="E64"/>
  <c r="E67" s="1"/>
  <c r="E68" s="1"/>
  <c r="D64"/>
  <c r="D67" s="1"/>
  <c r="D68" s="1"/>
  <c r="J63"/>
  <c r="J66" s="1"/>
  <c r="I63"/>
  <c r="I66" s="1"/>
  <c r="H63"/>
  <c r="H66" s="1"/>
  <c r="G63"/>
  <c r="G66" s="1"/>
  <c r="F63"/>
  <c r="F66" s="1"/>
  <c r="E63"/>
  <c r="E66" s="1"/>
  <c r="D63"/>
  <c r="D66" s="1"/>
  <c r="B53"/>
  <c r="B40"/>
  <c r="B28"/>
  <c r="B20"/>
  <c r="B8"/>
  <c r="E50"/>
  <c r="D50"/>
  <c r="E48"/>
  <c r="E58" s="1"/>
  <c r="D48"/>
  <c r="D58" s="1"/>
  <c r="E47"/>
  <c r="E57" s="1"/>
  <c r="D47"/>
  <c r="E45"/>
  <c r="E56" s="1"/>
  <c r="D45"/>
  <c r="D56" s="1"/>
  <c r="E43"/>
  <c r="E55" s="1"/>
  <c r="D43"/>
  <c r="E42"/>
  <c r="D42"/>
  <c r="E37"/>
  <c r="D37"/>
  <c r="E35"/>
  <c r="D35"/>
  <c r="E34"/>
  <c r="E32"/>
  <c r="D34"/>
  <c r="D32"/>
  <c r="E30"/>
  <c r="D30"/>
  <c r="E29"/>
  <c r="D29"/>
  <c r="E82" l="1"/>
  <c r="E54"/>
  <c r="E80"/>
  <c r="E87"/>
  <c r="D86"/>
  <c r="E76"/>
  <c r="E85"/>
  <c r="D55"/>
  <c r="D57"/>
  <c r="D82"/>
  <c r="E84"/>
  <c r="D87"/>
  <c r="D84"/>
  <c r="D76"/>
  <c r="D80"/>
  <c r="E81"/>
  <c r="D85"/>
  <c r="D81"/>
  <c r="D92" l="1"/>
  <c r="D91"/>
  <c r="E91"/>
  <c r="E93" s="1"/>
  <c r="E92"/>
  <c r="J15"/>
  <c r="I15"/>
  <c r="H15"/>
  <c r="G15"/>
  <c r="F15"/>
  <c r="J12"/>
  <c r="I12"/>
  <c r="H12"/>
  <c r="G12"/>
  <c r="F12"/>
  <c r="F9"/>
  <c r="F42" s="1"/>
  <c r="E23"/>
  <c r="E25"/>
  <c r="D25"/>
  <c r="E24"/>
  <c r="D24"/>
  <c r="D23"/>
  <c r="E22"/>
  <c r="D22"/>
  <c r="E21"/>
  <c r="E11"/>
  <c r="E44" s="1"/>
  <c r="D11"/>
  <c r="D44" s="1"/>
  <c r="E6"/>
  <c r="F6" s="1"/>
  <c r="G6" s="1"/>
  <c r="H6" s="1"/>
  <c r="I6" s="1"/>
  <c r="J6" s="1"/>
  <c r="D93" l="1"/>
  <c r="D96" s="1"/>
  <c r="E96"/>
  <c r="E95"/>
  <c r="G45"/>
  <c r="G72"/>
  <c r="F48"/>
  <c r="F74"/>
  <c r="J48"/>
  <c r="J74"/>
  <c r="I45"/>
  <c r="I72"/>
  <c r="H48"/>
  <c r="H74"/>
  <c r="F45"/>
  <c r="F72"/>
  <c r="J45"/>
  <c r="J72"/>
  <c r="I48"/>
  <c r="I74"/>
  <c r="H45"/>
  <c r="H72"/>
  <c r="G48"/>
  <c r="G74"/>
  <c r="E13"/>
  <c r="E46" s="1"/>
  <c r="E31"/>
  <c r="D13"/>
  <c r="D46" s="1"/>
  <c r="D31"/>
  <c r="F32"/>
  <c r="F14"/>
  <c r="F73" s="1"/>
  <c r="F29"/>
  <c r="F35"/>
  <c r="F10"/>
  <c r="G9"/>
  <c r="D95" l="1"/>
  <c r="F43"/>
  <c r="F71"/>
  <c r="G35"/>
  <c r="G42"/>
  <c r="F34"/>
  <c r="F47"/>
  <c r="D16"/>
  <c r="D49" s="1"/>
  <c r="D33"/>
  <c r="E16"/>
  <c r="E49" s="1"/>
  <c r="E33"/>
  <c r="G32"/>
  <c r="F11"/>
  <c r="F44" s="1"/>
  <c r="F30"/>
  <c r="H9"/>
  <c r="H42" s="1"/>
  <c r="G29"/>
  <c r="G14"/>
  <c r="G73" s="1"/>
  <c r="G10"/>
  <c r="G43" l="1"/>
  <c r="G71"/>
  <c r="G34"/>
  <c r="G47"/>
  <c r="D18"/>
  <c r="D36"/>
  <c r="E18"/>
  <c r="E36"/>
  <c r="G11"/>
  <c r="G44" s="1"/>
  <c r="G30"/>
  <c r="F13"/>
  <c r="F46" s="1"/>
  <c r="F31"/>
  <c r="I9"/>
  <c r="I42" s="1"/>
  <c r="H29"/>
  <c r="H35"/>
  <c r="H32"/>
  <c r="H10"/>
  <c r="H14"/>
  <c r="H73" s="1"/>
  <c r="H43" l="1"/>
  <c r="H71"/>
  <c r="E38"/>
  <c r="E51"/>
  <c r="D38"/>
  <c r="D51"/>
  <c r="H34"/>
  <c r="H47"/>
  <c r="H11"/>
  <c r="H44" s="1"/>
  <c r="H30"/>
  <c r="J9"/>
  <c r="J42" s="1"/>
  <c r="I29"/>
  <c r="I35"/>
  <c r="I32"/>
  <c r="I14"/>
  <c r="I10"/>
  <c r="G13"/>
  <c r="G46" s="1"/>
  <c r="G31"/>
  <c r="F16"/>
  <c r="F49" s="1"/>
  <c r="F33"/>
  <c r="I43" l="1"/>
  <c r="I71"/>
  <c r="I47"/>
  <c r="I73"/>
  <c r="G33"/>
  <c r="G16"/>
  <c r="G49" s="1"/>
  <c r="I11"/>
  <c r="I44" s="1"/>
  <c r="I30"/>
  <c r="H13"/>
  <c r="H46" s="1"/>
  <c r="H31"/>
  <c r="F17"/>
  <c r="F36"/>
  <c r="I34"/>
  <c r="J29"/>
  <c r="J35"/>
  <c r="J32"/>
  <c r="J10"/>
  <c r="J14"/>
  <c r="J73" s="1"/>
  <c r="J43" l="1"/>
  <c r="J71"/>
  <c r="F50"/>
  <c r="F75"/>
  <c r="J34"/>
  <c r="J47"/>
  <c r="F18"/>
  <c r="F37"/>
  <c r="I13"/>
  <c r="I46" s="1"/>
  <c r="I31"/>
  <c r="H33"/>
  <c r="H16"/>
  <c r="H49" s="1"/>
  <c r="J11"/>
  <c r="J44" s="1"/>
  <c r="J30"/>
  <c r="G17"/>
  <c r="G75" s="1"/>
  <c r="G36"/>
  <c r="G82" l="1"/>
  <c r="G76"/>
  <c r="G81"/>
  <c r="G87"/>
  <c r="G80"/>
  <c r="G84"/>
  <c r="G85"/>
  <c r="G86"/>
  <c r="F86"/>
  <c r="F76"/>
  <c r="F85"/>
  <c r="F81"/>
  <c r="F82"/>
  <c r="F80"/>
  <c r="F87"/>
  <c r="F84"/>
  <c r="G37"/>
  <c r="G50"/>
  <c r="F38"/>
  <c r="F51"/>
  <c r="G18"/>
  <c r="I33"/>
  <c r="I16"/>
  <c r="I49" s="1"/>
  <c r="J13"/>
  <c r="J46" s="1"/>
  <c r="J31"/>
  <c r="H17"/>
  <c r="H36"/>
  <c r="F92" l="1"/>
  <c r="F93" s="1"/>
  <c r="F91"/>
  <c r="G92"/>
  <c r="G91"/>
  <c r="H50"/>
  <c r="H75"/>
  <c r="G38"/>
  <c r="G51"/>
  <c r="H18"/>
  <c r="H37"/>
  <c r="J33"/>
  <c r="J16"/>
  <c r="J49" s="1"/>
  <c r="I17"/>
  <c r="I36"/>
  <c r="G93" l="1"/>
  <c r="G96" s="1"/>
  <c r="F95"/>
  <c r="F96"/>
  <c r="I50"/>
  <c r="I75"/>
  <c r="H81"/>
  <c r="H84"/>
  <c r="H80"/>
  <c r="H85"/>
  <c r="H86"/>
  <c r="H76"/>
  <c r="H82"/>
  <c r="H87"/>
  <c r="H38"/>
  <c r="H51"/>
  <c r="J17"/>
  <c r="J36"/>
  <c r="I18"/>
  <c r="I37"/>
  <c r="G95" l="1"/>
  <c r="H92"/>
  <c r="H91"/>
  <c r="J50"/>
  <c r="J75"/>
  <c r="I81"/>
  <c r="I84"/>
  <c r="I86"/>
  <c r="I76"/>
  <c r="I82"/>
  <c r="I80"/>
  <c r="I87"/>
  <c r="I85"/>
  <c r="I38"/>
  <c r="I51"/>
  <c r="J18"/>
  <c r="J37"/>
  <c r="I91" l="1"/>
  <c r="I93" s="1"/>
  <c r="I92"/>
  <c r="H93"/>
  <c r="J87"/>
  <c r="J85"/>
  <c r="J86"/>
  <c r="J82"/>
  <c r="J84"/>
  <c r="J81"/>
  <c r="J76"/>
  <c r="J80"/>
  <c r="J38"/>
  <c r="J51"/>
  <c r="H95" l="1"/>
  <c r="H96"/>
  <c r="I96"/>
  <c r="I95"/>
  <c r="J92"/>
  <c r="J93" s="1"/>
  <c r="J91"/>
  <c r="J95" l="1"/>
  <c r="J96"/>
</calcChain>
</file>

<file path=xl/sharedStrings.xml><?xml version="1.0" encoding="utf-8"?>
<sst xmlns="http://schemas.openxmlformats.org/spreadsheetml/2006/main" count="77" uniqueCount="44">
  <si>
    <t>INR(Crores)</t>
  </si>
  <si>
    <t>Revenue</t>
  </si>
  <si>
    <t>COGS</t>
  </si>
  <si>
    <t>Gross Profit</t>
  </si>
  <si>
    <t>Selling&amp;General Expenses</t>
  </si>
  <si>
    <t>EBITDA</t>
  </si>
  <si>
    <t>Depreciation</t>
  </si>
  <si>
    <t>Interest</t>
  </si>
  <si>
    <t>EBT</t>
  </si>
  <si>
    <t>Taxes</t>
  </si>
  <si>
    <t>Net Profit</t>
  </si>
  <si>
    <t>Revenue Growth</t>
  </si>
  <si>
    <t>COGS % of Revenue</t>
  </si>
  <si>
    <t>S&amp;G Expenses</t>
  </si>
  <si>
    <t xml:space="preserve">Depreciation % Sales </t>
  </si>
  <si>
    <t>N/A</t>
  </si>
  <si>
    <t>Selling &amp; Adm Expenses</t>
  </si>
  <si>
    <t>Net Income</t>
  </si>
  <si>
    <t>Tata Steels</t>
  </si>
  <si>
    <t>#</t>
  </si>
  <si>
    <t>Time Periods</t>
  </si>
  <si>
    <t>Monthly Data</t>
  </si>
  <si>
    <t>Annual Data</t>
  </si>
  <si>
    <t>Monthly period</t>
  </si>
  <si>
    <t xml:space="preserve"> </t>
  </si>
  <si>
    <t>Annual period</t>
  </si>
  <si>
    <t>NA</t>
  </si>
  <si>
    <t xml:space="preserve"> S&amp;G Expenses</t>
  </si>
  <si>
    <t>Depreciation % Sales</t>
  </si>
  <si>
    <t>Costing Analysis</t>
  </si>
  <si>
    <t>Total</t>
  </si>
  <si>
    <t>Average</t>
  </si>
  <si>
    <t>Weighted Average</t>
  </si>
  <si>
    <t>Median</t>
  </si>
  <si>
    <t>Min</t>
  </si>
  <si>
    <t>Max</t>
  </si>
  <si>
    <t>Small</t>
  </si>
  <si>
    <t>Large</t>
  </si>
  <si>
    <t>Total Expenses</t>
  </si>
  <si>
    <t>Stub or Full year</t>
  </si>
  <si>
    <t>Time functions</t>
  </si>
  <si>
    <t>Finance Math</t>
  </si>
  <si>
    <t>If condition</t>
  </si>
  <si>
    <t>Use IF for Error Checking</t>
  </si>
</sst>
</file>

<file path=xl/styles.xml><?xml version="1.0" encoding="utf-8"?>
<styleSheet xmlns="http://schemas.openxmlformats.org/spreadsheetml/2006/main">
  <numFmts count="5">
    <numFmt numFmtId="164" formatCode="0&quot;A&quot;"/>
    <numFmt numFmtId="165" formatCode="0&quot;E&quot;"/>
    <numFmt numFmtId="166" formatCode="#,##0.0;\(#,##0\)"/>
    <numFmt numFmtId="169" formatCode="#,##0.0;\(\-#,##0.0\)"/>
    <numFmt numFmtId="170" formatCode="0.0"/>
  </numFmts>
  <fonts count="11"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3366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3366FF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2" borderId="0" xfId="0" applyFont="1" applyFill="1"/>
    <xf numFmtId="166" fontId="0" fillId="0" borderId="0" xfId="0" applyNumberFormat="1"/>
    <xf numFmtId="166" fontId="2" fillId="0" borderId="0" xfId="0" applyNumberFormat="1" applyFont="1"/>
    <xf numFmtId="0" fontId="4" fillId="0" borderId="0" xfId="0" applyFont="1"/>
    <xf numFmtId="0" fontId="0" fillId="0" borderId="0" xfId="0" applyAlignment="1">
      <alignment horizontal="right"/>
    </xf>
    <xf numFmtId="10" fontId="2" fillId="0" borderId="0" xfId="1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5" fillId="0" borderId="0" xfId="0" applyNumberFormat="1" applyFont="1"/>
    <xf numFmtId="0" fontId="0" fillId="0" borderId="2" xfId="0" applyBorder="1"/>
    <xf numFmtId="0" fontId="0" fillId="0" borderId="3" xfId="0" applyBorder="1"/>
    <xf numFmtId="166" fontId="2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6" fontId="2" fillId="0" borderId="7" xfId="0" applyNumberFormat="1" applyFont="1" applyBorder="1"/>
    <xf numFmtId="0" fontId="4" fillId="0" borderId="8" xfId="0" applyFont="1" applyBorder="1"/>
    <xf numFmtId="0" fontId="4" fillId="0" borderId="9" xfId="0" applyFont="1" applyBorder="1"/>
    <xf numFmtId="0" fontId="4" fillId="3" borderId="0" xfId="0" applyFont="1" applyFill="1"/>
    <xf numFmtId="0" fontId="0" fillId="3" borderId="0" xfId="0" applyFill="1"/>
    <xf numFmtId="10" fontId="0" fillId="0" borderId="0" xfId="1" applyNumberFormat="1" applyFont="1"/>
    <xf numFmtId="2" fontId="0" fillId="0" borderId="0" xfId="0" applyNumberFormat="1"/>
    <xf numFmtId="10" fontId="2" fillId="0" borderId="0" xfId="1" applyNumberFormat="1" applyFont="1"/>
    <xf numFmtId="166" fontId="7" fillId="0" borderId="0" xfId="0" applyNumberFormat="1" applyFont="1"/>
    <xf numFmtId="166" fontId="8" fillId="0" borderId="3" xfId="0" applyNumberFormat="1" applyFont="1" applyBorder="1"/>
    <xf numFmtId="166" fontId="8" fillId="0" borderId="0" xfId="0" applyNumberFormat="1" applyFont="1"/>
    <xf numFmtId="166" fontId="8" fillId="0" borderId="5" xfId="0" applyNumberFormat="1" applyFont="1" applyBorder="1"/>
    <xf numFmtId="166" fontId="8" fillId="0" borderId="7" xfId="0" applyNumberFormat="1" applyFont="1" applyBorder="1"/>
    <xf numFmtId="166" fontId="7" fillId="0" borderId="9" xfId="0" applyNumberFormat="1" applyFont="1" applyBorder="1"/>
    <xf numFmtId="10" fontId="8" fillId="0" borderId="0" xfId="0" applyNumberFormat="1" applyFont="1" applyAlignment="1">
      <alignment horizontal="right"/>
    </xf>
    <xf numFmtId="10" fontId="8" fillId="0" borderId="0" xfId="1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0" fontId="8" fillId="0" borderId="0" xfId="1" applyNumberFormat="1" applyFont="1"/>
    <xf numFmtId="164" fontId="6" fillId="2" borderId="0" xfId="0" applyNumberFormat="1" applyFont="1" applyFill="1"/>
    <xf numFmtId="165" fontId="6" fillId="2" borderId="0" xfId="0" applyNumberFormat="1" applyFont="1" applyFill="1"/>
    <xf numFmtId="0" fontId="9" fillId="3" borderId="0" xfId="0" applyFont="1" applyFill="1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10" fontId="10" fillId="0" borderId="0" xfId="1" applyNumberFormat="1" applyFont="1"/>
    <xf numFmtId="169" fontId="0" fillId="0" borderId="0" xfId="0" applyNumberFormat="1"/>
    <xf numFmtId="169" fontId="10" fillId="0" borderId="0" xfId="0" applyNumberFormat="1" applyFont="1"/>
    <xf numFmtId="10" fontId="10" fillId="0" borderId="0" xfId="0" applyNumberFormat="1" applyFont="1"/>
    <xf numFmtId="9" fontId="0" fillId="0" borderId="0" xfId="0" applyNumberFormat="1"/>
    <xf numFmtId="9" fontId="10" fillId="0" borderId="0" xfId="0" applyNumberFormat="1" applyFont="1"/>
    <xf numFmtId="0" fontId="9" fillId="0" borderId="0" xfId="0" applyFont="1"/>
    <xf numFmtId="166" fontId="4" fillId="0" borderId="10" xfId="0" applyNumberFormat="1" applyFont="1" applyBorder="1"/>
    <xf numFmtId="2" fontId="2" fillId="0" borderId="0" xfId="0" applyNumberFormat="1" applyFont="1"/>
    <xf numFmtId="170" fontId="0" fillId="0" borderId="0" xfId="0" applyNumberFormat="1"/>
    <xf numFmtId="166" fontId="4" fillId="0" borderId="0" xfId="0" applyNumberFormat="1" applyFont="1" applyBorder="1"/>
    <xf numFmtId="170" fontId="4" fillId="0" borderId="0" xfId="0" applyNumberFormat="1" applyFont="1"/>
  </cellXfs>
  <cellStyles count="2">
    <cellStyle name="Normal" xfId="0" builtinId="0"/>
    <cellStyle name="Percent" xfId="1" builtinId="5"/>
  </cellStyles>
  <dxfs count="2">
    <dxf>
      <fill>
        <patternFill>
          <bgColor theme="6"/>
        </patternFill>
      </fill>
    </dxf>
    <dxf>
      <font>
        <b val="0"/>
        <i/>
        <color theme="0" tint="-0.499984740745262"/>
      </font>
    </dxf>
  </dxfs>
  <tableStyles count="0" defaultTableStyle="TableStyleMedium9" defaultPivotStyle="PivotStyleLight16"/>
  <colors>
    <mruColors>
      <color rgb="FF3366FF"/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Z97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61" sqref="P61"/>
    </sheetView>
  </sheetViews>
  <sheetFormatPr defaultRowHeight="15" outlineLevelRow="1"/>
  <cols>
    <col min="1" max="1" width="2.5703125" style="1" customWidth="1"/>
    <col min="2" max="2" width="12.7109375" customWidth="1"/>
    <col min="3" max="3" width="14" customWidth="1"/>
    <col min="4" max="92" width="10.7109375" customWidth="1"/>
  </cols>
  <sheetData>
    <row r="3" spans="1:26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B5" t="s">
        <v>18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B6" s="3" t="s">
        <v>0</v>
      </c>
      <c r="C6" s="3"/>
      <c r="D6" s="36">
        <v>2020</v>
      </c>
      <c r="E6" s="36">
        <f>D6+1</f>
        <v>2021</v>
      </c>
      <c r="F6" s="37">
        <f t="shared" ref="F6:J6" si="0">E6+1</f>
        <v>2022</v>
      </c>
      <c r="G6" s="37">
        <f t="shared" si="0"/>
        <v>2023</v>
      </c>
      <c r="H6" s="37">
        <f t="shared" si="0"/>
        <v>2024</v>
      </c>
      <c r="I6" s="37">
        <f t="shared" si="0"/>
        <v>2025</v>
      </c>
      <c r="J6" s="37">
        <f t="shared" si="0"/>
        <v>2026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 t="s">
        <v>19</v>
      </c>
      <c r="B8" s="21" t="str">
        <f xml:space="preserve"> "Income Statement "&amp;"- "&amp;B5</f>
        <v>Income Statement - Tata Steels</v>
      </c>
      <c r="C8" s="21"/>
      <c r="D8" s="21"/>
      <c r="E8" s="21"/>
      <c r="F8" s="21"/>
      <c r="G8" s="21"/>
      <c r="H8" s="21"/>
      <c r="I8" s="21"/>
      <c r="J8" s="2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idden="1" outlineLevel="1">
      <c r="B9" s="6" t="s">
        <v>1</v>
      </c>
      <c r="C9" s="6"/>
      <c r="D9" s="10">
        <v>20000</v>
      </c>
      <c r="E9" s="10">
        <v>22500</v>
      </c>
      <c r="F9" s="26">
        <f>E9*(1+F21)</f>
        <v>24750.000000000004</v>
      </c>
      <c r="G9" s="26">
        <f t="shared" ref="G9:J9" si="1">F9*(1+G21)</f>
        <v>27225.000000000007</v>
      </c>
      <c r="H9" s="26">
        <f t="shared" si="1"/>
        <v>29947.500000000011</v>
      </c>
      <c r="I9" s="26">
        <f t="shared" si="1"/>
        <v>32942.250000000015</v>
      </c>
      <c r="J9" s="26">
        <f t="shared" si="1"/>
        <v>36236.47500000002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idden="1" outlineLevel="1">
      <c r="B10" s="11" t="s">
        <v>2</v>
      </c>
      <c r="C10" s="12"/>
      <c r="D10" s="13">
        <v>8000</v>
      </c>
      <c r="E10" s="13">
        <v>9000</v>
      </c>
      <c r="F10" s="27">
        <f>F9*F22</f>
        <v>9900.0000000000018</v>
      </c>
      <c r="G10" s="27">
        <f t="shared" ref="G10:J10" si="2">G9*G22</f>
        <v>10890.000000000004</v>
      </c>
      <c r="H10" s="27">
        <f t="shared" si="2"/>
        <v>11979.000000000005</v>
      </c>
      <c r="I10" s="27">
        <f t="shared" si="2"/>
        <v>13176.900000000007</v>
      </c>
      <c r="J10" s="27">
        <f t="shared" si="2"/>
        <v>14494.590000000009</v>
      </c>
    </row>
    <row r="11" spans="1:26" hidden="1" outlineLevel="1">
      <c r="B11" t="s">
        <v>3</v>
      </c>
      <c r="D11" s="28">
        <f>D9-D10</f>
        <v>12000</v>
      </c>
      <c r="E11" s="28">
        <f t="shared" ref="E11" si="3">E9-E10</f>
        <v>13500</v>
      </c>
      <c r="F11" s="28">
        <f>F9-F10</f>
        <v>14850.000000000002</v>
      </c>
      <c r="G11" s="28">
        <f t="shared" ref="G11:J11" si="4">G9-G10</f>
        <v>16335.000000000004</v>
      </c>
      <c r="H11" s="28">
        <f t="shared" si="4"/>
        <v>17968.500000000007</v>
      </c>
      <c r="I11" s="28">
        <f t="shared" si="4"/>
        <v>19765.350000000006</v>
      </c>
      <c r="J11" s="28">
        <f t="shared" si="4"/>
        <v>21741.885000000009</v>
      </c>
    </row>
    <row r="12" spans="1:26" hidden="1" outlineLevel="1">
      <c r="B12" t="s">
        <v>4</v>
      </c>
      <c r="D12" s="5">
        <v>2000</v>
      </c>
      <c r="E12" s="5">
        <v>2250</v>
      </c>
      <c r="F12" s="28">
        <f>F23</f>
        <v>2500</v>
      </c>
      <c r="G12" s="28">
        <f t="shared" ref="G12:J12" si="5">G23</f>
        <v>2500</v>
      </c>
      <c r="H12" s="28">
        <f t="shared" si="5"/>
        <v>2500</v>
      </c>
      <c r="I12" s="28">
        <f t="shared" si="5"/>
        <v>2500</v>
      </c>
      <c r="J12" s="28">
        <f t="shared" si="5"/>
        <v>2500</v>
      </c>
    </row>
    <row r="13" spans="1:26" hidden="1" outlineLevel="1">
      <c r="B13" s="14" t="s">
        <v>5</v>
      </c>
      <c r="C13" s="15"/>
      <c r="D13" s="29">
        <f>D11-D12</f>
        <v>10000</v>
      </c>
      <c r="E13" s="29">
        <f t="shared" ref="E13" si="6">E11-E12</f>
        <v>11250</v>
      </c>
      <c r="F13" s="29">
        <f>F11-F12</f>
        <v>12350.000000000002</v>
      </c>
      <c r="G13" s="29">
        <f t="shared" ref="G13:J13" si="7">G11-G12</f>
        <v>13835.000000000004</v>
      </c>
      <c r="H13" s="29">
        <f t="shared" si="7"/>
        <v>15468.500000000007</v>
      </c>
      <c r="I13" s="29">
        <f t="shared" si="7"/>
        <v>17265.350000000006</v>
      </c>
      <c r="J13" s="29">
        <f t="shared" si="7"/>
        <v>19241.885000000009</v>
      </c>
    </row>
    <row r="14" spans="1:26" hidden="1" outlineLevel="1">
      <c r="B14" t="s">
        <v>6</v>
      </c>
      <c r="D14" s="5">
        <v>800</v>
      </c>
      <c r="E14" s="5">
        <v>900</v>
      </c>
      <c r="F14" s="28">
        <f>F24*F9</f>
        <v>1237.5000000000002</v>
      </c>
      <c r="G14" s="28">
        <f t="shared" ref="G14:J14" si="8">G24*G9</f>
        <v>1361.2500000000005</v>
      </c>
      <c r="H14" s="28">
        <f t="shared" si="8"/>
        <v>1497.3750000000007</v>
      </c>
      <c r="I14" s="28">
        <f t="shared" si="8"/>
        <v>1647.1125000000009</v>
      </c>
      <c r="J14" s="28">
        <f t="shared" si="8"/>
        <v>1811.8237500000012</v>
      </c>
    </row>
    <row r="15" spans="1:26" hidden="1" outlineLevel="1">
      <c r="B15" s="16" t="s">
        <v>7</v>
      </c>
      <c r="C15" s="17"/>
      <c r="D15" s="18">
        <v>200</v>
      </c>
      <c r="E15" s="18">
        <v>225</v>
      </c>
      <c r="F15" s="30">
        <f>F25</f>
        <v>250</v>
      </c>
      <c r="G15" s="30">
        <f t="shared" ref="G15:J15" si="9">G25</f>
        <v>250</v>
      </c>
      <c r="H15" s="30">
        <f t="shared" si="9"/>
        <v>250</v>
      </c>
      <c r="I15" s="30">
        <f t="shared" si="9"/>
        <v>250</v>
      </c>
      <c r="J15" s="30">
        <f t="shared" si="9"/>
        <v>250</v>
      </c>
    </row>
    <row r="16" spans="1:26" hidden="1" outlineLevel="1">
      <c r="B16" t="s">
        <v>8</v>
      </c>
      <c r="D16" s="28">
        <f>D13-SUM(D14:D15)</f>
        <v>9000</v>
      </c>
      <c r="E16" s="28">
        <f t="shared" ref="E16" si="10">E13-SUM(E14:E15)</f>
        <v>10125</v>
      </c>
      <c r="F16" s="28">
        <f>F13-SUM(F14:F15)</f>
        <v>10862.500000000002</v>
      </c>
      <c r="G16" s="28">
        <f t="shared" ref="G16:J16" si="11">G13-SUM(G14:G15)</f>
        <v>12223.750000000004</v>
      </c>
      <c r="H16" s="28">
        <f t="shared" si="11"/>
        <v>13721.125000000007</v>
      </c>
      <c r="I16" s="28">
        <f t="shared" si="11"/>
        <v>15368.237500000005</v>
      </c>
      <c r="J16" s="28">
        <f t="shared" si="11"/>
        <v>17180.061250000006</v>
      </c>
    </row>
    <row r="17" spans="1:10" hidden="1" outlineLevel="1">
      <c r="B17" s="16" t="s">
        <v>9</v>
      </c>
      <c r="C17" s="17"/>
      <c r="D17" s="18">
        <v>2700</v>
      </c>
      <c r="E17" s="18">
        <v>3037.5</v>
      </c>
      <c r="F17" s="30">
        <f>F16*F26</f>
        <v>3258.7500000000005</v>
      </c>
      <c r="G17" s="30">
        <f t="shared" ref="G17:J17" si="12">G16*G26</f>
        <v>3667.1250000000009</v>
      </c>
      <c r="H17" s="30">
        <f t="shared" si="12"/>
        <v>4116.3375000000024</v>
      </c>
      <c r="I17" s="30">
        <f t="shared" si="12"/>
        <v>4610.4712500000014</v>
      </c>
      <c r="J17" s="30">
        <f t="shared" si="12"/>
        <v>5154.0183750000015</v>
      </c>
    </row>
    <row r="18" spans="1:10" ht="15.75" hidden="1" outlineLevel="1" thickBot="1">
      <c r="B18" s="19" t="s">
        <v>10</v>
      </c>
      <c r="C18" s="20"/>
      <c r="D18" s="31">
        <f>D16-D17</f>
        <v>6300</v>
      </c>
      <c r="E18" s="31">
        <f t="shared" ref="E18" si="13">E16-E17</f>
        <v>7087.5</v>
      </c>
      <c r="F18" s="31">
        <f>F16-F17</f>
        <v>7603.7500000000018</v>
      </c>
      <c r="G18" s="31">
        <f t="shared" ref="G18:J18" si="14">G16-G17</f>
        <v>8556.6250000000036</v>
      </c>
      <c r="H18" s="31">
        <f t="shared" si="14"/>
        <v>9604.7875000000058</v>
      </c>
      <c r="I18" s="31">
        <f t="shared" si="14"/>
        <v>10757.766250000004</v>
      </c>
      <c r="J18" s="31">
        <f t="shared" si="14"/>
        <v>12026.042875000005</v>
      </c>
    </row>
    <row r="19" spans="1:10" collapsed="1"/>
    <row r="20" spans="1:10">
      <c r="A20" s="1" t="s">
        <v>19</v>
      </c>
      <c r="B20" s="21" t="str">
        <f>"Assumptions Drivers "&amp;"- "&amp;B5</f>
        <v>Assumptions Drivers - Tata Steels</v>
      </c>
      <c r="C20" s="21"/>
      <c r="D20" s="22"/>
      <c r="E20" s="22"/>
      <c r="F20" s="22"/>
      <c r="G20" s="22"/>
      <c r="H20" s="22"/>
      <c r="I20" s="22"/>
      <c r="J20" s="22"/>
    </row>
    <row r="21" spans="1:10" hidden="1" outlineLevel="1">
      <c r="B21" t="s">
        <v>11</v>
      </c>
      <c r="D21" s="7" t="s">
        <v>15</v>
      </c>
      <c r="E21" s="32">
        <f>E9/D9-1</f>
        <v>0.125</v>
      </c>
      <c r="F21" s="8">
        <v>0.1</v>
      </c>
      <c r="G21" s="8">
        <v>0.1</v>
      </c>
      <c r="H21" s="8">
        <v>0.1</v>
      </c>
      <c r="I21" s="8">
        <v>0.1</v>
      </c>
      <c r="J21" s="8">
        <v>0.1</v>
      </c>
    </row>
    <row r="22" spans="1:10" hidden="1" outlineLevel="1">
      <c r="B22" t="s">
        <v>12</v>
      </c>
      <c r="D22" s="33">
        <f>D10/D9</f>
        <v>0.4</v>
      </c>
      <c r="E22" s="33">
        <f t="shared" ref="E22" si="15">E10/E9</f>
        <v>0.4</v>
      </c>
      <c r="F22" s="8">
        <v>0.4</v>
      </c>
      <c r="G22" s="8">
        <v>0.4</v>
      </c>
      <c r="H22" s="8">
        <v>0.4</v>
      </c>
      <c r="I22" s="8">
        <v>0.4</v>
      </c>
      <c r="J22" s="8">
        <v>0.4</v>
      </c>
    </row>
    <row r="23" spans="1:10" hidden="1" outlineLevel="1">
      <c r="B23" t="s">
        <v>13</v>
      </c>
      <c r="D23" s="34">
        <f>D12</f>
        <v>2000</v>
      </c>
      <c r="E23" s="34">
        <f>E12</f>
        <v>2250</v>
      </c>
      <c r="F23" s="9">
        <v>2500</v>
      </c>
      <c r="G23" s="9">
        <v>2500</v>
      </c>
      <c r="H23" s="9">
        <v>2500</v>
      </c>
      <c r="I23" s="9">
        <v>2500</v>
      </c>
      <c r="J23" s="9">
        <v>2500</v>
      </c>
    </row>
    <row r="24" spans="1:10" hidden="1" outlineLevel="1">
      <c r="B24" t="s">
        <v>14</v>
      </c>
      <c r="D24" s="33">
        <f>D14/D9</f>
        <v>0.04</v>
      </c>
      <c r="E24" s="33">
        <f t="shared" ref="E24" si="16">E14/E9</f>
        <v>0.04</v>
      </c>
      <c r="F24" s="8">
        <v>0.05</v>
      </c>
      <c r="G24" s="8">
        <v>0.05</v>
      </c>
      <c r="H24" s="8">
        <v>0.05</v>
      </c>
      <c r="I24" s="8">
        <v>0.05</v>
      </c>
      <c r="J24" s="8">
        <v>0.05</v>
      </c>
    </row>
    <row r="25" spans="1:10" hidden="1" outlineLevel="1">
      <c r="B25" t="s">
        <v>7</v>
      </c>
      <c r="D25" s="34">
        <f>D15</f>
        <v>200</v>
      </c>
      <c r="E25" s="34">
        <f t="shared" ref="E25" si="17">E15</f>
        <v>225</v>
      </c>
      <c r="F25" s="9">
        <v>250</v>
      </c>
      <c r="G25" s="9">
        <v>250</v>
      </c>
      <c r="H25" s="9">
        <v>250</v>
      </c>
      <c r="I25" s="9">
        <v>250</v>
      </c>
      <c r="J25" s="9">
        <v>250</v>
      </c>
    </row>
    <row r="26" spans="1:10" hidden="1" outlineLevel="1">
      <c r="B26" t="s">
        <v>9</v>
      </c>
      <c r="D26" s="8">
        <v>0.3</v>
      </c>
      <c r="E26" s="8">
        <v>0.3</v>
      </c>
      <c r="F26" s="8">
        <v>0.3</v>
      </c>
      <c r="G26" s="8">
        <v>0.3</v>
      </c>
      <c r="H26" s="8">
        <v>0.3</v>
      </c>
      <c r="I26" s="8">
        <v>0.3</v>
      </c>
      <c r="J26" s="8">
        <v>0.3</v>
      </c>
    </row>
    <row r="27" spans="1:10" collapsed="1"/>
    <row r="28" spans="1:10">
      <c r="A28" s="1" t="s">
        <v>19</v>
      </c>
      <c r="B28" s="21" t="str">
        <f>"Common Size Statement "&amp;"-"&amp;B5</f>
        <v>Common Size Statement -Tata Steels</v>
      </c>
      <c r="C28" s="21"/>
      <c r="D28" s="21"/>
      <c r="E28" s="21"/>
      <c r="F28" s="21"/>
      <c r="G28" s="21"/>
      <c r="H28" s="21"/>
      <c r="I28" s="21"/>
      <c r="J28" s="21"/>
    </row>
    <row r="29" spans="1:10" hidden="1" outlineLevel="1">
      <c r="B29" t="s">
        <v>1</v>
      </c>
      <c r="D29" s="35">
        <f>D9/D9</f>
        <v>1</v>
      </c>
      <c r="E29" s="35">
        <f t="shared" ref="E29:J29" si="18">E9/E9</f>
        <v>1</v>
      </c>
      <c r="F29" s="35">
        <f t="shared" si="18"/>
        <v>1</v>
      </c>
      <c r="G29" s="35">
        <f t="shared" si="18"/>
        <v>1</v>
      </c>
      <c r="H29" s="35">
        <f t="shared" si="18"/>
        <v>1</v>
      </c>
      <c r="I29" s="35">
        <f t="shared" si="18"/>
        <v>1</v>
      </c>
      <c r="J29" s="35">
        <f t="shared" si="18"/>
        <v>1</v>
      </c>
    </row>
    <row r="30" spans="1:10" hidden="1" outlineLevel="1">
      <c r="B30" t="s">
        <v>2</v>
      </c>
      <c r="D30" s="35">
        <f>D10/D$9</f>
        <v>0.4</v>
      </c>
      <c r="E30" s="35">
        <f t="shared" ref="E30:J30" si="19">E10/E$9</f>
        <v>0.4</v>
      </c>
      <c r="F30" s="35">
        <f t="shared" si="19"/>
        <v>0.4</v>
      </c>
      <c r="G30" s="35">
        <f t="shared" si="19"/>
        <v>0.4</v>
      </c>
      <c r="H30" s="35">
        <f t="shared" si="19"/>
        <v>0.4</v>
      </c>
      <c r="I30" s="35">
        <f t="shared" si="19"/>
        <v>0.4</v>
      </c>
      <c r="J30" s="35">
        <f t="shared" si="19"/>
        <v>0.4</v>
      </c>
    </row>
    <row r="31" spans="1:10" hidden="1" outlineLevel="1">
      <c r="B31" t="s">
        <v>3</v>
      </c>
      <c r="D31" s="35">
        <f>D11/D$9</f>
        <v>0.6</v>
      </c>
      <c r="E31" s="35">
        <f t="shared" ref="E31:J31" si="20">E11/E$9</f>
        <v>0.6</v>
      </c>
      <c r="F31" s="35">
        <f t="shared" si="20"/>
        <v>0.6</v>
      </c>
      <c r="G31" s="35">
        <f t="shared" si="20"/>
        <v>0.6</v>
      </c>
      <c r="H31" s="35">
        <f t="shared" si="20"/>
        <v>0.6</v>
      </c>
      <c r="I31" s="35">
        <f t="shared" si="20"/>
        <v>0.59999999999999987</v>
      </c>
      <c r="J31" s="35">
        <f t="shared" si="20"/>
        <v>0.59999999999999987</v>
      </c>
    </row>
    <row r="32" spans="1:10" hidden="1" outlineLevel="1">
      <c r="B32" t="s">
        <v>16</v>
      </c>
      <c r="D32" s="35">
        <f>D12/D$9</f>
        <v>0.1</v>
      </c>
      <c r="E32" s="35">
        <f t="shared" ref="E32:J32" si="21">E12/E$9</f>
        <v>0.1</v>
      </c>
      <c r="F32" s="35">
        <f t="shared" si="21"/>
        <v>0.10101010101010099</v>
      </c>
      <c r="G32" s="35">
        <f t="shared" si="21"/>
        <v>9.1827364554637261E-2</v>
      </c>
      <c r="H32" s="35">
        <f t="shared" si="21"/>
        <v>8.3479422322397495E-2</v>
      </c>
      <c r="I32" s="35">
        <f t="shared" si="21"/>
        <v>7.5890383929452271E-2</v>
      </c>
      <c r="J32" s="35">
        <f t="shared" si="21"/>
        <v>6.8991258117683876E-2</v>
      </c>
    </row>
    <row r="33" spans="1:10" hidden="1" outlineLevel="1">
      <c r="B33" t="s">
        <v>5</v>
      </c>
      <c r="D33" s="35">
        <f>D13/D$9</f>
        <v>0.5</v>
      </c>
      <c r="E33" s="35">
        <f t="shared" ref="E33:J33" si="22">E13/E$9</f>
        <v>0.5</v>
      </c>
      <c r="F33" s="35">
        <f t="shared" si="22"/>
        <v>0.49898989898989898</v>
      </c>
      <c r="G33" s="35">
        <f t="shared" si="22"/>
        <v>0.50817263544536273</v>
      </c>
      <c r="H33" s="35">
        <f t="shared" si="22"/>
        <v>0.51652057767760251</v>
      </c>
      <c r="I33" s="35">
        <f t="shared" si="22"/>
        <v>0.52410961607054762</v>
      </c>
      <c r="J33" s="35">
        <f t="shared" si="22"/>
        <v>0.53100874188231606</v>
      </c>
    </row>
    <row r="34" spans="1:10" hidden="1" outlineLevel="1">
      <c r="B34" t="s">
        <v>6</v>
      </c>
      <c r="D34" s="35">
        <f>D14/D$9</f>
        <v>0.04</v>
      </c>
      <c r="E34" s="35">
        <f t="shared" ref="E34:J34" si="23">E14/E$9</f>
        <v>0.04</v>
      </c>
      <c r="F34" s="35">
        <f t="shared" si="23"/>
        <v>0.05</v>
      </c>
      <c r="G34" s="35">
        <f t="shared" si="23"/>
        <v>0.05</v>
      </c>
      <c r="H34" s="35">
        <f t="shared" si="23"/>
        <v>0.05</v>
      </c>
      <c r="I34" s="35">
        <f t="shared" si="23"/>
        <v>0.05</v>
      </c>
      <c r="J34" s="35">
        <f t="shared" si="23"/>
        <v>0.05</v>
      </c>
    </row>
    <row r="35" spans="1:10" hidden="1" outlineLevel="1">
      <c r="B35" t="s">
        <v>7</v>
      </c>
      <c r="D35" s="35">
        <f t="shared" ref="D35:J35" si="24">D15/D$9</f>
        <v>0.01</v>
      </c>
      <c r="E35" s="35">
        <f t="shared" si="24"/>
        <v>0.01</v>
      </c>
      <c r="F35" s="35">
        <f t="shared" si="24"/>
        <v>1.01010101010101E-2</v>
      </c>
      <c r="G35" s="35">
        <f t="shared" si="24"/>
        <v>9.1827364554637261E-3</v>
      </c>
      <c r="H35" s="35">
        <f t="shared" si="24"/>
        <v>8.3479422322397506E-3</v>
      </c>
      <c r="I35" s="35">
        <f t="shared" si="24"/>
        <v>7.5890383929452269E-3</v>
      </c>
      <c r="J35" s="35">
        <f t="shared" si="24"/>
        <v>6.8991258117683868E-3</v>
      </c>
    </row>
    <row r="36" spans="1:10" hidden="1" outlineLevel="1">
      <c r="B36" t="s">
        <v>8</v>
      </c>
      <c r="D36" s="35">
        <f t="shared" ref="D36:J36" si="25">D16/D$9</f>
        <v>0.45</v>
      </c>
      <c r="E36" s="35">
        <f t="shared" si="25"/>
        <v>0.45</v>
      </c>
      <c r="F36" s="35">
        <f t="shared" si="25"/>
        <v>0.43888888888888888</v>
      </c>
      <c r="G36" s="35">
        <f t="shared" si="25"/>
        <v>0.44898989898989899</v>
      </c>
      <c r="H36" s="35">
        <f t="shared" si="25"/>
        <v>0.4581726354453628</v>
      </c>
      <c r="I36" s="35">
        <f t="shared" si="25"/>
        <v>0.46652057767760241</v>
      </c>
      <c r="J36" s="35">
        <f t="shared" si="25"/>
        <v>0.47410961607054758</v>
      </c>
    </row>
    <row r="37" spans="1:10" hidden="1" outlineLevel="1">
      <c r="B37" t="s">
        <v>9</v>
      </c>
      <c r="D37" s="35">
        <f t="shared" ref="D37:J37" si="26">D17/D$9</f>
        <v>0.13500000000000001</v>
      </c>
      <c r="E37" s="35">
        <f t="shared" si="26"/>
        <v>0.13500000000000001</v>
      </c>
      <c r="F37" s="35">
        <f t="shared" si="26"/>
        <v>0.13166666666666665</v>
      </c>
      <c r="G37" s="35">
        <f t="shared" si="26"/>
        <v>0.1346969696969697</v>
      </c>
      <c r="H37" s="35">
        <f t="shared" si="26"/>
        <v>0.13745179063360885</v>
      </c>
      <c r="I37" s="35">
        <f t="shared" si="26"/>
        <v>0.13995617330328072</v>
      </c>
      <c r="J37" s="35">
        <f t="shared" si="26"/>
        <v>0.14223288482116428</v>
      </c>
    </row>
    <row r="38" spans="1:10" hidden="1" outlineLevel="1">
      <c r="B38" t="s">
        <v>17</v>
      </c>
      <c r="D38" s="35">
        <f t="shared" ref="D38:J38" si="27">D18/D$9</f>
        <v>0.315</v>
      </c>
      <c r="E38" s="35">
        <f t="shared" si="27"/>
        <v>0.315</v>
      </c>
      <c r="F38" s="35">
        <f t="shared" si="27"/>
        <v>0.30722222222222223</v>
      </c>
      <c r="G38" s="35">
        <f t="shared" si="27"/>
        <v>0.31429292929292935</v>
      </c>
      <c r="H38" s="35">
        <f t="shared" si="27"/>
        <v>0.320720844811754</v>
      </c>
      <c r="I38" s="35">
        <f t="shared" si="27"/>
        <v>0.32656440437432172</v>
      </c>
      <c r="J38" s="35">
        <f t="shared" si="27"/>
        <v>0.33187673124938333</v>
      </c>
    </row>
    <row r="39" spans="1:10" collapsed="1"/>
    <row r="40" spans="1:10">
      <c r="A40" s="1" t="s">
        <v>19</v>
      </c>
      <c r="B40" s="21" t="str">
        <f>"Change Analysis Statement "&amp;"-"&amp;B5</f>
        <v>Change Analysis Statement -Tata Steels</v>
      </c>
      <c r="C40" s="21"/>
      <c r="D40" s="21"/>
      <c r="E40" s="21"/>
      <c r="F40" s="21"/>
      <c r="G40" s="21"/>
      <c r="H40" s="21"/>
      <c r="I40" s="21"/>
      <c r="J40" s="21"/>
    </row>
    <row r="41" spans="1:10" hidden="1" outlineLevel="1">
      <c r="C41" s="25">
        <v>0.1</v>
      </c>
    </row>
    <row r="42" spans="1:10" hidden="1" outlineLevel="1">
      <c r="B42" s="6" t="s">
        <v>1</v>
      </c>
      <c r="C42" s="6"/>
      <c r="D42" s="26">
        <f>D9*(1+$C$41)</f>
        <v>22000</v>
      </c>
      <c r="E42" s="26">
        <f t="shared" ref="E42:J42" si="28">E9*(1+$C$41)</f>
        <v>24750.000000000004</v>
      </c>
      <c r="F42" s="26">
        <f t="shared" si="28"/>
        <v>27225.000000000007</v>
      </c>
      <c r="G42" s="26">
        <f t="shared" si="28"/>
        <v>29947.500000000011</v>
      </c>
      <c r="H42" s="26">
        <f t="shared" si="28"/>
        <v>32942.250000000015</v>
      </c>
      <c r="I42" s="26">
        <f t="shared" si="28"/>
        <v>36236.47500000002</v>
      </c>
      <c r="J42" s="26">
        <f t="shared" si="28"/>
        <v>39860.122500000027</v>
      </c>
    </row>
    <row r="43" spans="1:10" hidden="1" outlineLevel="1">
      <c r="B43" s="11" t="s">
        <v>2</v>
      </c>
      <c r="C43" s="12"/>
      <c r="D43" s="27">
        <f t="shared" ref="D43:J43" si="29">D10*(1+$C$41)</f>
        <v>8800</v>
      </c>
      <c r="E43" s="27">
        <f t="shared" si="29"/>
        <v>9900</v>
      </c>
      <c r="F43" s="27">
        <f t="shared" si="29"/>
        <v>10890.000000000004</v>
      </c>
      <c r="G43" s="27">
        <f t="shared" si="29"/>
        <v>11979.000000000005</v>
      </c>
      <c r="H43" s="27">
        <f t="shared" si="29"/>
        <v>13176.900000000007</v>
      </c>
      <c r="I43" s="27">
        <f t="shared" si="29"/>
        <v>14494.590000000009</v>
      </c>
      <c r="J43" s="27">
        <f t="shared" si="29"/>
        <v>15944.049000000012</v>
      </c>
    </row>
    <row r="44" spans="1:10" hidden="1" outlineLevel="1">
      <c r="B44" t="s">
        <v>3</v>
      </c>
      <c r="D44" s="28">
        <f t="shared" ref="D44:J44" si="30">D11*(1+$C$41)</f>
        <v>13200.000000000002</v>
      </c>
      <c r="E44" s="28">
        <f t="shared" si="30"/>
        <v>14850.000000000002</v>
      </c>
      <c r="F44" s="28">
        <f t="shared" si="30"/>
        <v>16335.000000000004</v>
      </c>
      <c r="G44" s="28">
        <f t="shared" si="30"/>
        <v>17968.500000000004</v>
      </c>
      <c r="H44" s="28">
        <f t="shared" si="30"/>
        <v>19765.350000000009</v>
      </c>
      <c r="I44" s="28">
        <f t="shared" si="30"/>
        <v>21741.885000000009</v>
      </c>
      <c r="J44" s="28">
        <f t="shared" si="30"/>
        <v>23916.073500000013</v>
      </c>
    </row>
    <row r="45" spans="1:10" hidden="1" outlineLevel="1">
      <c r="B45" t="s">
        <v>4</v>
      </c>
      <c r="D45" s="28">
        <f t="shared" ref="D45:J45" si="31">D12*(1+$C$41)</f>
        <v>2200</v>
      </c>
      <c r="E45" s="28">
        <f t="shared" si="31"/>
        <v>2475</v>
      </c>
      <c r="F45" s="28">
        <f t="shared" si="31"/>
        <v>2750</v>
      </c>
      <c r="G45" s="28">
        <f t="shared" si="31"/>
        <v>2750</v>
      </c>
      <c r="H45" s="28">
        <f t="shared" si="31"/>
        <v>2750</v>
      </c>
      <c r="I45" s="28">
        <f t="shared" si="31"/>
        <v>2750</v>
      </c>
      <c r="J45" s="28">
        <f t="shared" si="31"/>
        <v>2750</v>
      </c>
    </row>
    <row r="46" spans="1:10" hidden="1" outlineLevel="1">
      <c r="B46" s="14" t="s">
        <v>5</v>
      </c>
      <c r="C46" s="15"/>
      <c r="D46" s="29">
        <f t="shared" ref="D46:J46" si="32">D13*(1+$C$41)</f>
        <v>11000</v>
      </c>
      <c r="E46" s="29">
        <f t="shared" si="32"/>
        <v>12375.000000000002</v>
      </c>
      <c r="F46" s="29">
        <f t="shared" si="32"/>
        <v>13585.000000000004</v>
      </c>
      <c r="G46" s="29">
        <f t="shared" si="32"/>
        <v>15218.500000000005</v>
      </c>
      <c r="H46" s="29">
        <f t="shared" si="32"/>
        <v>17015.350000000009</v>
      </c>
      <c r="I46" s="29">
        <f t="shared" si="32"/>
        <v>18991.885000000009</v>
      </c>
      <c r="J46" s="29">
        <f t="shared" si="32"/>
        <v>21166.073500000013</v>
      </c>
    </row>
    <row r="47" spans="1:10" hidden="1" outlineLevel="1">
      <c r="B47" t="s">
        <v>6</v>
      </c>
      <c r="D47" s="28">
        <f t="shared" ref="D47:J47" si="33">D14*(1+$C$41)</f>
        <v>880.00000000000011</v>
      </c>
      <c r="E47" s="28">
        <f t="shared" si="33"/>
        <v>990.00000000000011</v>
      </c>
      <c r="F47" s="28">
        <f t="shared" si="33"/>
        <v>1361.2500000000005</v>
      </c>
      <c r="G47" s="28">
        <f t="shared" si="33"/>
        <v>1497.3750000000007</v>
      </c>
      <c r="H47" s="28">
        <f t="shared" si="33"/>
        <v>1647.1125000000009</v>
      </c>
      <c r="I47" s="28">
        <f t="shared" si="33"/>
        <v>1811.8237500000012</v>
      </c>
      <c r="J47" s="28">
        <f t="shared" si="33"/>
        <v>1993.0061250000015</v>
      </c>
    </row>
    <row r="48" spans="1:10" hidden="1" outlineLevel="1">
      <c r="B48" s="16" t="s">
        <v>7</v>
      </c>
      <c r="C48" s="17"/>
      <c r="D48" s="30">
        <f t="shared" ref="D48:J48" si="34">D15*(1+$C$41)</f>
        <v>220.00000000000003</v>
      </c>
      <c r="E48" s="30">
        <f t="shared" si="34"/>
        <v>247.50000000000003</v>
      </c>
      <c r="F48" s="30">
        <f t="shared" si="34"/>
        <v>275</v>
      </c>
      <c r="G48" s="30">
        <f t="shared" si="34"/>
        <v>275</v>
      </c>
      <c r="H48" s="30">
        <f t="shared" si="34"/>
        <v>275</v>
      </c>
      <c r="I48" s="30">
        <f t="shared" si="34"/>
        <v>275</v>
      </c>
      <c r="J48" s="30">
        <f t="shared" si="34"/>
        <v>275</v>
      </c>
    </row>
    <row r="49" spans="2:10" hidden="1" outlineLevel="1">
      <c r="B49" t="s">
        <v>8</v>
      </c>
      <c r="D49" s="28">
        <f t="shared" ref="D49:J49" si="35">D16*(1+$C$41)</f>
        <v>9900</v>
      </c>
      <c r="E49" s="28">
        <f t="shared" si="35"/>
        <v>11137.5</v>
      </c>
      <c r="F49" s="28">
        <f t="shared" si="35"/>
        <v>11948.750000000004</v>
      </c>
      <c r="G49" s="28">
        <f t="shared" si="35"/>
        <v>13446.125000000005</v>
      </c>
      <c r="H49" s="28">
        <f t="shared" si="35"/>
        <v>15093.237500000008</v>
      </c>
      <c r="I49" s="28">
        <f t="shared" si="35"/>
        <v>16905.061250000006</v>
      </c>
      <c r="J49" s="28">
        <f t="shared" si="35"/>
        <v>18898.06737500001</v>
      </c>
    </row>
    <row r="50" spans="2:10" hidden="1" outlineLevel="1">
      <c r="B50" s="16" t="s">
        <v>9</v>
      </c>
      <c r="C50" s="17"/>
      <c r="D50" s="30">
        <f t="shared" ref="D50:J50" si="36">D17*(1+$C$41)</f>
        <v>2970.0000000000005</v>
      </c>
      <c r="E50" s="30">
        <f t="shared" si="36"/>
        <v>3341.2500000000005</v>
      </c>
      <c r="F50" s="30">
        <f t="shared" si="36"/>
        <v>3584.6250000000009</v>
      </c>
      <c r="G50" s="30">
        <f t="shared" si="36"/>
        <v>4033.8375000000015</v>
      </c>
      <c r="H50" s="30">
        <f t="shared" si="36"/>
        <v>4527.9712500000032</v>
      </c>
      <c r="I50" s="30">
        <f t="shared" si="36"/>
        <v>5071.5183750000024</v>
      </c>
      <c r="J50" s="30">
        <f t="shared" si="36"/>
        <v>5669.420212500002</v>
      </c>
    </row>
    <row r="51" spans="2:10" ht="15.75" hidden="1" outlineLevel="1" thickBot="1">
      <c r="B51" s="19" t="s">
        <v>10</v>
      </c>
      <c r="C51" s="20"/>
      <c r="D51" s="31">
        <f t="shared" ref="D51:J51" si="37">D18*(1+$C$41)</f>
        <v>6930.0000000000009</v>
      </c>
      <c r="E51" s="31">
        <f t="shared" si="37"/>
        <v>7796.2500000000009</v>
      </c>
      <c r="F51" s="31">
        <f t="shared" si="37"/>
        <v>8364.1250000000018</v>
      </c>
      <c r="G51" s="31">
        <f t="shared" si="37"/>
        <v>9412.287500000004</v>
      </c>
      <c r="H51" s="31">
        <f t="shared" si="37"/>
        <v>10565.266250000008</v>
      </c>
      <c r="I51" s="31">
        <f t="shared" si="37"/>
        <v>11833.542875000006</v>
      </c>
      <c r="J51" s="31">
        <f t="shared" si="37"/>
        <v>13228.647162500007</v>
      </c>
    </row>
    <row r="52" spans="2:10" collapsed="1"/>
    <row r="53" spans="2:10">
      <c r="B53" s="38" t="str">
        <f>"Assumptions Drivers"&amp;" - "&amp;B5</f>
        <v>Assumptions Drivers - Tata Steels</v>
      </c>
      <c r="C53" s="22"/>
      <c r="D53" s="22"/>
      <c r="E53" s="22"/>
      <c r="F53" s="22"/>
      <c r="G53" s="22"/>
      <c r="H53" s="22"/>
      <c r="I53" s="22"/>
      <c r="J53" s="22"/>
    </row>
    <row r="54" spans="2:10" hidden="1" outlineLevel="1">
      <c r="B54" t="s">
        <v>11</v>
      </c>
      <c r="D54" s="7" t="s">
        <v>26</v>
      </c>
      <c r="E54" s="23">
        <f>E42/D42-1</f>
        <v>0.12500000000000022</v>
      </c>
      <c r="F54" s="42">
        <v>0.1</v>
      </c>
      <c r="G54" s="42">
        <v>0.1</v>
      </c>
      <c r="H54" s="42">
        <v>0.1</v>
      </c>
      <c r="I54" s="42">
        <v>0.1</v>
      </c>
      <c r="J54" s="42">
        <v>0.1</v>
      </c>
    </row>
    <row r="55" spans="2:10" hidden="1" outlineLevel="1">
      <c r="B55" t="s">
        <v>12</v>
      </c>
      <c r="D55" s="23">
        <f>D43/D42</f>
        <v>0.4</v>
      </c>
      <c r="E55" s="23">
        <f>E43/E42</f>
        <v>0.39999999999999997</v>
      </c>
      <c r="F55" s="42">
        <v>0.4</v>
      </c>
      <c r="G55" s="42">
        <v>0.4</v>
      </c>
      <c r="H55" s="42">
        <v>0.4</v>
      </c>
      <c r="I55" s="42">
        <v>0.4</v>
      </c>
      <c r="J55" s="42">
        <v>0.4</v>
      </c>
    </row>
    <row r="56" spans="2:10" hidden="1" outlineLevel="1">
      <c r="B56" t="s">
        <v>27</v>
      </c>
      <c r="D56" s="43">
        <f>D45</f>
        <v>2200</v>
      </c>
      <c r="E56" s="43">
        <f>E45</f>
        <v>2475</v>
      </c>
      <c r="F56" s="44">
        <v>2500</v>
      </c>
      <c r="G56" s="44">
        <v>2500</v>
      </c>
      <c r="H56" s="44">
        <v>2500</v>
      </c>
      <c r="I56" s="44">
        <v>2500</v>
      </c>
      <c r="J56" s="44">
        <v>2500</v>
      </c>
    </row>
    <row r="57" spans="2:10" hidden="1" outlineLevel="1">
      <c r="B57" t="s">
        <v>28</v>
      </c>
      <c r="D57" s="23">
        <f>D47/D42</f>
        <v>4.0000000000000008E-2</v>
      </c>
      <c r="E57" s="23">
        <f>E47/E42</f>
        <v>0.04</v>
      </c>
      <c r="F57" s="45">
        <v>0.05</v>
      </c>
      <c r="G57" s="45">
        <v>0.05</v>
      </c>
      <c r="H57" s="45">
        <v>0.05</v>
      </c>
      <c r="I57" s="45">
        <v>0.05</v>
      </c>
      <c r="J57" s="45">
        <v>0.05</v>
      </c>
    </row>
    <row r="58" spans="2:10" hidden="1" outlineLevel="1">
      <c r="B58" t="s">
        <v>7</v>
      </c>
      <c r="D58" s="43">
        <f>D48</f>
        <v>220.00000000000003</v>
      </c>
      <c r="E58" s="43">
        <f>E48</f>
        <v>247.50000000000003</v>
      </c>
      <c r="F58" s="44">
        <v>250</v>
      </c>
      <c r="G58" s="44">
        <v>250</v>
      </c>
      <c r="H58" s="44">
        <v>250</v>
      </c>
      <c r="I58" s="44">
        <v>250</v>
      </c>
      <c r="J58" s="44">
        <v>250</v>
      </c>
    </row>
    <row r="59" spans="2:10" hidden="1" outlineLevel="1">
      <c r="B59" t="s">
        <v>9</v>
      </c>
      <c r="D59" s="46">
        <v>0.3</v>
      </c>
      <c r="E59" s="46">
        <v>0.3</v>
      </c>
      <c r="F59" s="47">
        <v>0.3</v>
      </c>
      <c r="G59" s="47">
        <v>0.3</v>
      </c>
      <c r="H59" s="47">
        <v>0.3</v>
      </c>
      <c r="I59" s="47">
        <v>0.3</v>
      </c>
      <c r="J59" s="47">
        <v>0.3</v>
      </c>
    </row>
    <row r="60" spans="2:10" outlineLevel="1">
      <c r="D60" s="46"/>
      <c r="E60" s="46"/>
      <c r="F60" s="47"/>
      <c r="G60" s="47"/>
      <c r="H60" s="47"/>
      <c r="I60" s="47"/>
      <c r="J60" s="47"/>
    </row>
    <row r="61" spans="2:10">
      <c r="B61" s="21" t="s">
        <v>40</v>
      </c>
      <c r="C61" s="22"/>
      <c r="D61" s="22"/>
      <c r="E61" s="22"/>
      <c r="F61" s="22"/>
      <c r="G61" s="22"/>
      <c r="H61" s="22"/>
      <c r="I61" s="22"/>
      <c r="J61" s="22"/>
    </row>
    <row r="62" spans="2:10" hidden="1" outlineLevel="1">
      <c r="B62" t="s">
        <v>20</v>
      </c>
      <c r="C62" s="40">
        <v>44788</v>
      </c>
      <c r="D62" s="41">
        <v>0</v>
      </c>
      <c r="E62" s="41">
        <v>1</v>
      </c>
      <c r="F62" s="41">
        <v>2</v>
      </c>
      <c r="G62" s="41">
        <v>3</v>
      </c>
      <c r="H62" s="41">
        <v>4</v>
      </c>
      <c r="I62" s="41">
        <v>5</v>
      </c>
      <c r="J62" s="41">
        <v>6</v>
      </c>
    </row>
    <row r="63" spans="2:10" hidden="1" outlineLevel="1">
      <c r="B63" t="s">
        <v>21</v>
      </c>
      <c r="D63" s="39">
        <f>EOMONTH($C$62,D62)</f>
        <v>44804</v>
      </c>
      <c r="E63" s="39">
        <f t="shared" ref="E63:J63" si="38">EOMONTH($C$62,E62)</f>
        <v>44834</v>
      </c>
      <c r="F63" s="39">
        <f t="shared" si="38"/>
        <v>44865</v>
      </c>
      <c r="G63" s="39">
        <f t="shared" si="38"/>
        <v>44895</v>
      </c>
      <c r="H63" s="39">
        <f t="shared" si="38"/>
        <v>44926</v>
      </c>
      <c r="I63" s="39">
        <f t="shared" si="38"/>
        <v>44957</v>
      </c>
      <c r="J63" s="39">
        <f t="shared" si="38"/>
        <v>44985</v>
      </c>
    </row>
    <row r="64" spans="2:10" hidden="1" outlineLevel="1">
      <c r="B64" t="s">
        <v>22</v>
      </c>
      <c r="D64" s="39">
        <f>DATE(YEAR($C$62)+D62,12,31)</f>
        <v>44926</v>
      </c>
      <c r="E64" s="39">
        <f t="shared" ref="E64:J64" si="39">DATE(YEAR($C$62)+E62,12,31)</f>
        <v>45291</v>
      </c>
      <c r="F64" s="39">
        <f t="shared" si="39"/>
        <v>45657</v>
      </c>
      <c r="G64" s="39">
        <f t="shared" si="39"/>
        <v>46022</v>
      </c>
      <c r="H64" s="39">
        <f t="shared" si="39"/>
        <v>46387</v>
      </c>
      <c r="I64" s="39">
        <f t="shared" si="39"/>
        <v>46752</v>
      </c>
      <c r="J64" s="39">
        <f t="shared" si="39"/>
        <v>47118</v>
      </c>
    </row>
    <row r="65" spans="2:10" hidden="1" outlineLevel="1"/>
    <row r="66" spans="2:10" hidden="1" outlineLevel="1">
      <c r="B66" t="s">
        <v>23</v>
      </c>
      <c r="C66" t="s">
        <v>24</v>
      </c>
      <c r="D66">
        <f>YEARFRAC($C$62,D63)</f>
        <v>4.4444444444444446E-2</v>
      </c>
      <c r="E66">
        <f t="shared" ref="E66:J66" si="40">YEARFRAC($C$62,E63)</f>
        <v>0.125</v>
      </c>
      <c r="F66">
        <f t="shared" si="40"/>
        <v>0.21111111111111111</v>
      </c>
      <c r="G66">
        <f t="shared" si="40"/>
        <v>0.29166666666666669</v>
      </c>
      <c r="H66">
        <f t="shared" si="40"/>
        <v>0.37777777777777777</v>
      </c>
      <c r="I66">
        <f t="shared" si="40"/>
        <v>0.46111111111111114</v>
      </c>
      <c r="J66">
        <f t="shared" si="40"/>
        <v>0.53611111111111109</v>
      </c>
    </row>
    <row r="67" spans="2:10" hidden="1" outlineLevel="1">
      <c r="B67" t="s">
        <v>25</v>
      </c>
      <c r="D67">
        <f>YEARFRAC($C$62,D64)</f>
        <v>0.37777777777777777</v>
      </c>
      <c r="E67">
        <f t="shared" ref="E67:J67" si="41">YEARFRAC($C$62,E64)</f>
        <v>1.3777777777777778</v>
      </c>
      <c r="F67">
        <f t="shared" si="41"/>
        <v>2.3777777777777778</v>
      </c>
      <c r="G67">
        <f t="shared" si="41"/>
        <v>3.3777777777777778</v>
      </c>
      <c r="H67">
        <f t="shared" si="41"/>
        <v>4.3777777777777782</v>
      </c>
      <c r="I67">
        <f t="shared" si="41"/>
        <v>5.3777777777777782</v>
      </c>
      <c r="J67">
        <f t="shared" si="41"/>
        <v>6.3777777777777782</v>
      </c>
    </row>
    <row r="68" spans="2:10" hidden="1" outlineLevel="1">
      <c r="B68" t="s">
        <v>39</v>
      </c>
      <c r="D68" t="str">
        <f>IF(D67&lt;1,"Stub","Full Year")</f>
        <v>Stub</v>
      </c>
      <c r="E68" t="str">
        <f t="shared" ref="E68:J68" si="42">IF(E67&lt;1,"Stub","Full Year")</f>
        <v>Full Year</v>
      </c>
      <c r="F68" t="str">
        <f t="shared" si="42"/>
        <v>Full Year</v>
      </c>
      <c r="G68" t="str">
        <f t="shared" si="42"/>
        <v>Full Year</v>
      </c>
      <c r="H68" t="str">
        <f t="shared" si="42"/>
        <v>Full Year</v>
      </c>
      <c r="I68" t="str">
        <f t="shared" si="42"/>
        <v>Full Year</v>
      </c>
      <c r="J68" t="str">
        <f t="shared" si="42"/>
        <v>Full Year</v>
      </c>
    </row>
    <row r="69" spans="2:10" collapsed="1"/>
    <row r="70" spans="2:10">
      <c r="B70" s="38" t="s">
        <v>29</v>
      </c>
      <c r="C70" s="22"/>
      <c r="D70" s="22"/>
      <c r="E70" s="22"/>
      <c r="F70" s="22"/>
      <c r="G70" s="22"/>
      <c r="H70" s="22"/>
      <c r="I70" s="22"/>
      <c r="J70" s="22"/>
    </row>
    <row r="71" spans="2:10" hidden="1" outlineLevel="1">
      <c r="B71" t="s">
        <v>2</v>
      </c>
      <c r="C71" s="50">
        <v>0.1</v>
      </c>
      <c r="D71" s="4">
        <f>D10</f>
        <v>8000</v>
      </c>
      <c r="E71" s="4">
        <f t="shared" ref="E71:J71" si="43">E10</f>
        <v>9000</v>
      </c>
      <c r="F71" s="4">
        <f t="shared" si="43"/>
        <v>9900.0000000000018</v>
      </c>
      <c r="G71" s="4">
        <f t="shared" si="43"/>
        <v>10890.000000000004</v>
      </c>
      <c r="H71" s="4">
        <f t="shared" si="43"/>
        <v>11979.000000000005</v>
      </c>
      <c r="I71" s="4">
        <f t="shared" si="43"/>
        <v>13176.900000000007</v>
      </c>
      <c r="J71" s="4">
        <f t="shared" si="43"/>
        <v>14494.590000000009</v>
      </c>
    </row>
    <row r="72" spans="2:10" hidden="1" outlineLevel="1">
      <c r="B72" t="s">
        <v>4</v>
      </c>
      <c r="C72" s="50">
        <v>0.2</v>
      </c>
      <c r="D72" s="4">
        <f>D12</f>
        <v>2000</v>
      </c>
      <c r="E72" s="4">
        <f t="shared" ref="E72:J72" si="44">E12</f>
        <v>2250</v>
      </c>
      <c r="F72" s="4">
        <f t="shared" si="44"/>
        <v>2500</v>
      </c>
      <c r="G72" s="4">
        <f t="shared" si="44"/>
        <v>2500</v>
      </c>
      <c r="H72" s="4">
        <f t="shared" si="44"/>
        <v>2500</v>
      </c>
      <c r="I72" s="4">
        <f t="shared" si="44"/>
        <v>2500</v>
      </c>
      <c r="J72" s="4">
        <f t="shared" si="44"/>
        <v>2500</v>
      </c>
    </row>
    <row r="73" spans="2:10" hidden="1" outlineLevel="1">
      <c r="B73" t="s">
        <v>6</v>
      </c>
      <c r="C73" s="50">
        <v>0.2</v>
      </c>
      <c r="D73" s="4">
        <f>D14</f>
        <v>800</v>
      </c>
      <c r="E73" s="4">
        <f t="shared" ref="E73:J73" si="45">E14</f>
        <v>900</v>
      </c>
      <c r="F73" s="4">
        <f t="shared" si="45"/>
        <v>1237.5000000000002</v>
      </c>
      <c r="G73" s="4">
        <f t="shared" si="45"/>
        <v>1361.2500000000005</v>
      </c>
      <c r="H73" s="4">
        <f t="shared" si="45"/>
        <v>1497.3750000000007</v>
      </c>
      <c r="I73" s="4">
        <f t="shared" si="45"/>
        <v>1647.1125000000009</v>
      </c>
      <c r="J73" s="4">
        <f t="shared" si="45"/>
        <v>1811.8237500000012</v>
      </c>
    </row>
    <row r="74" spans="2:10" hidden="1" outlineLevel="1">
      <c r="B74" t="s">
        <v>7</v>
      </c>
      <c r="C74" s="50">
        <v>0.3</v>
      </c>
      <c r="D74" s="4">
        <f>D15</f>
        <v>200</v>
      </c>
      <c r="E74" s="4">
        <f t="shared" ref="E74:J74" si="46">E15</f>
        <v>225</v>
      </c>
      <c r="F74" s="4">
        <f t="shared" si="46"/>
        <v>250</v>
      </c>
      <c r="G74" s="4">
        <f t="shared" si="46"/>
        <v>250</v>
      </c>
      <c r="H74" s="4">
        <f t="shared" si="46"/>
        <v>250</v>
      </c>
      <c r="I74" s="4">
        <f t="shared" si="46"/>
        <v>250</v>
      </c>
      <c r="J74" s="4">
        <f t="shared" si="46"/>
        <v>250</v>
      </c>
    </row>
    <row r="75" spans="2:10" hidden="1" outlineLevel="1">
      <c r="B75" t="s">
        <v>9</v>
      </c>
      <c r="C75" s="50">
        <v>0.2</v>
      </c>
      <c r="D75" s="4">
        <f>D17</f>
        <v>2700</v>
      </c>
      <c r="E75" s="4">
        <f t="shared" ref="E75:J75" si="47">E17</f>
        <v>3037.5</v>
      </c>
      <c r="F75" s="4">
        <f t="shared" si="47"/>
        <v>3258.7500000000005</v>
      </c>
      <c r="G75" s="4">
        <f t="shared" si="47"/>
        <v>3667.1250000000009</v>
      </c>
      <c r="H75" s="4">
        <f t="shared" si="47"/>
        <v>4116.3375000000024</v>
      </c>
      <c r="I75" s="4">
        <f t="shared" si="47"/>
        <v>4610.4712500000014</v>
      </c>
      <c r="J75" s="4">
        <f t="shared" si="47"/>
        <v>5154.0183750000015</v>
      </c>
    </row>
    <row r="76" spans="2:10" hidden="1" outlineLevel="1">
      <c r="B76" s="6" t="s">
        <v>30</v>
      </c>
      <c r="C76" s="24">
        <f>SUM(C71:C75)</f>
        <v>1</v>
      </c>
      <c r="D76" s="49">
        <f>SUM(D71:D75)</f>
        <v>13700</v>
      </c>
      <c r="E76" s="49">
        <f t="shared" ref="E76:J76" si="48">SUM(E71:E75)</f>
        <v>15412.5</v>
      </c>
      <c r="F76" s="49">
        <f t="shared" si="48"/>
        <v>17146.250000000004</v>
      </c>
      <c r="G76" s="49">
        <f t="shared" si="48"/>
        <v>18668.375000000004</v>
      </c>
      <c r="H76" s="49">
        <f t="shared" si="48"/>
        <v>20342.712500000009</v>
      </c>
      <c r="I76" s="49">
        <f t="shared" si="48"/>
        <v>22184.48375000001</v>
      </c>
      <c r="J76" s="49">
        <f t="shared" si="48"/>
        <v>24210.432125000014</v>
      </c>
    </row>
    <row r="77" spans="2:10" hidden="1" outlineLevel="1">
      <c r="B77" s="6"/>
      <c r="C77" s="24"/>
      <c r="D77" s="52"/>
      <c r="E77" s="52"/>
      <c r="F77" s="52"/>
      <c r="G77" s="52"/>
      <c r="H77" s="52"/>
      <c r="I77" s="52"/>
      <c r="J77" s="52"/>
    </row>
    <row r="78" spans="2:10" collapsed="1">
      <c r="B78" s="6"/>
      <c r="C78" s="24"/>
      <c r="D78" s="52"/>
      <c r="E78" s="52"/>
      <c r="F78" s="52"/>
      <c r="G78" s="52"/>
      <c r="H78" s="52"/>
      <c r="I78" s="52"/>
      <c r="J78" s="52"/>
    </row>
    <row r="79" spans="2:10">
      <c r="B79" s="21" t="s">
        <v>41</v>
      </c>
      <c r="C79" s="21"/>
      <c r="D79" s="21"/>
      <c r="E79" s="21"/>
      <c r="F79" s="21"/>
      <c r="G79" s="21"/>
      <c r="H79" s="21"/>
      <c r="I79" s="21"/>
      <c r="J79" s="21"/>
    </row>
    <row r="80" spans="2:10" hidden="1" outlineLevel="1">
      <c r="B80" s="6" t="s">
        <v>31</v>
      </c>
      <c r="D80" s="4">
        <f>AVERAGE(D71:D75)</f>
        <v>2740</v>
      </c>
      <c r="E80" s="4">
        <f>AVERAGE(E71:E75)</f>
        <v>3082.5</v>
      </c>
      <c r="F80" s="4">
        <f>AVERAGE(F71:F75)</f>
        <v>3429.2500000000009</v>
      </c>
      <c r="G80" s="4">
        <f>AVERAGE(G71:G75)</f>
        <v>3733.6750000000006</v>
      </c>
      <c r="H80" s="4">
        <f>AVERAGE(H71:H75)</f>
        <v>4068.5425000000018</v>
      </c>
      <c r="I80" s="4">
        <f>AVERAGE(I71:I75)</f>
        <v>4436.8967500000017</v>
      </c>
      <c r="J80" s="4">
        <f>AVERAGE(J71:J75)</f>
        <v>4842.0864250000031</v>
      </c>
    </row>
    <row r="81" spans="2:10" hidden="1" outlineLevel="1">
      <c r="B81" s="6" t="s">
        <v>32</v>
      </c>
      <c r="D81" s="51">
        <f>SUMPRODUCT($C$71:$C$75,D71:D75)</f>
        <v>1960</v>
      </c>
      <c r="E81" s="51">
        <f t="shared" ref="E81:J81" si="49">SUMPRODUCT($C$71:$C$75,E71:E75)</f>
        <v>2205</v>
      </c>
      <c r="F81" s="51">
        <f t="shared" si="49"/>
        <v>2464.2500000000005</v>
      </c>
      <c r="G81" s="51">
        <f t="shared" si="49"/>
        <v>2669.6750000000006</v>
      </c>
      <c r="H81" s="51">
        <f t="shared" si="49"/>
        <v>2895.6425000000013</v>
      </c>
      <c r="I81" s="51">
        <f t="shared" si="49"/>
        <v>3144.2067500000012</v>
      </c>
      <c r="J81" s="51">
        <f t="shared" si="49"/>
        <v>3417.6274250000015</v>
      </c>
    </row>
    <row r="82" spans="2:10" hidden="1" outlineLevel="1">
      <c r="B82" s="6" t="s">
        <v>33</v>
      </c>
      <c r="D82" s="4">
        <f>MEDIAN(D71:D75)</f>
        <v>2000</v>
      </c>
      <c r="E82" s="4">
        <f t="shared" ref="E82:J82" si="50">MEDIAN(E71:E75)</f>
        <v>2250</v>
      </c>
      <c r="F82" s="4">
        <f t="shared" si="50"/>
        <v>2500</v>
      </c>
      <c r="G82" s="4">
        <f t="shared" si="50"/>
        <v>2500</v>
      </c>
      <c r="H82" s="4">
        <f t="shared" si="50"/>
        <v>2500</v>
      </c>
      <c r="I82" s="4">
        <f t="shared" si="50"/>
        <v>2500</v>
      </c>
      <c r="J82" s="4">
        <f t="shared" si="50"/>
        <v>2500</v>
      </c>
    </row>
    <row r="83" spans="2:10" hidden="1" outlineLevel="1">
      <c r="B83" s="6"/>
    </row>
    <row r="84" spans="2:10" hidden="1" outlineLevel="1">
      <c r="B84" s="6" t="s">
        <v>34</v>
      </c>
      <c r="D84" s="4">
        <f>MIN(D71:D75)</f>
        <v>200</v>
      </c>
      <c r="E84" s="4">
        <f t="shared" ref="E84:J84" si="51">MIN(E71:E75)</f>
        <v>225</v>
      </c>
      <c r="F84" s="4">
        <f t="shared" si="51"/>
        <v>250</v>
      </c>
      <c r="G84" s="4">
        <f t="shared" si="51"/>
        <v>250</v>
      </c>
      <c r="H84" s="4">
        <f t="shared" si="51"/>
        <v>250</v>
      </c>
      <c r="I84" s="4">
        <f t="shared" si="51"/>
        <v>250</v>
      </c>
      <c r="J84" s="4">
        <f t="shared" si="51"/>
        <v>250</v>
      </c>
    </row>
    <row r="85" spans="2:10" hidden="1" outlineLevel="1">
      <c r="B85" s="6" t="s">
        <v>35</v>
      </c>
      <c r="D85" s="4">
        <f>MAX(D71:D75)</f>
        <v>8000</v>
      </c>
      <c r="E85" s="4">
        <f t="shared" ref="E85:J85" si="52">MAX(E71:E75)</f>
        <v>9000</v>
      </c>
      <c r="F85" s="4">
        <f t="shared" si="52"/>
        <v>9900.0000000000018</v>
      </c>
      <c r="G85" s="4">
        <f t="shared" si="52"/>
        <v>10890.000000000004</v>
      </c>
      <c r="H85" s="4">
        <f t="shared" si="52"/>
        <v>11979.000000000005</v>
      </c>
      <c r="I85" s="4">
        <f t="shared" si="52"/>
        <v>13176.900000000007</v>
      </c>
      <c r="J85" s="4">
        <f t="shared" si="52"/>
        <v>14494.590000000009</v>
      </c>
    </row>
    <row r="86" spans="2:10" hidden="1" outlineLevel="1">
      <c r="B86" s="6" t="s">
        <v>36</v>
      </c>
      <c r="C86" s="41">
        <v>3</v>
      </c>
      <c r="D86">
        <f>SMALL(D71:D75,$C$86)</f>
        <v>2000</v>
      </c>
      <c r="E86">
        <f t="shared" ref="E86:J86" si="53">SMALL(E71:E75,$C$86)</f>
        <v>2250</v>
      </c>
      <c r="F86">
        <f t="shared" si="53"/>
        <v>2500</v>
      </c>
      <c r="G86">
        <f t="shared" si="53"/>
        <v>2500</v>
      </c>
      <c r="H86">
        <f t="shared" si="53"/>
        <v>2500</v>
      </c>
      <c r="I86">
        <f t="shared" si="53"/>
        <v>2500</v>
      </c>
      <c r="J86">
        <f t="shared" si="53"/>
        <v>2500</v>
      </c>
    </row>
    <row r="87" spans="2:10" hidden="1" outlineLevel="1">
      <c r="B87" s="6" t="s">
        <v>37</v>
      </c>
      <c r="C87" s="41">
        <v>3</v>
      </c>
      <c r="D87">
        <f>LARGE(D71:D75,$C$87)</f>
        <v>2000</v>
      </c>
      <c r="E87">
        <f t="shared" ref="E87:J87" si="54">LARGE(E71:E75,$C$87)</f>
        <v>2250</v>
      </c>
      <c r="F87">
        <f t="shared" si="54"/>
        <v>2500</v>
      </c>
      <c r="G87">
        <f t="shared" si="54"/>
        <v>2500</v>
      </c>
      <c r="H87">
        <f t="shared" si="54"/>
        <v>2500</v>
      </c>
      <c r="I87">
        <f t="shared" si="54"/>
        <v>2500</v>
      </c>
      <c r="J87">
        <f t="shared" si="54"/>
        <v>2500</v>
      </c>
    </row>
    <row r="88" spans="2:10" collapsed="1"/>
    <row r="89" spans="2:10">
      <c r="B89" s="21" t="s">
        <v>42</v>
      </c>
      <c r="C89" s="22"/>
      <c r="D89" s="22"/>
      <c r="E89" s="22"/>
      <c r="F89" s="22"/>
      <c r="G89" s="22"/>
      <c r="H89" s="22"/>
      <c r="I89" s="22"/>
      <c r="J89" s="22"/>
    </row>
    <row r="90" spans="2:10" hidden="1" outlineLevel="1">
      <c r="B90" s="48" t="s">
        <v>38</v>
      </c>
    </row>
    <row r="91" spans="2:10" hidden="1" outlineLevel="1">
      <c r="B91" s="48" t="str">
        <f>"if &lt; "&amp;C91</f>
        <v>if &lt; 17500</v>
      </c>
      <c r="C91" s="41">
        <v>17500</v>
      </c>
      <c r="D91" s="51">
        <f>IF(D76&lt;$C$91,D76,0)</f>
        <v>13700</v>
      </c>
      <c r="E91" s="51">
        <f t="shared" ref="E91:J91" si="55">IF(E76&lt;$C$91,E76,0)</f>
        <v>15412.5</v>
      </c>
      <c r="F91" s="51">
        <f t="shared" si="55"/>
        <v>17146.250000000004</v>
      </c>
      <c r="G91" s="51">
        <f t="shared" si="55"/>
        <v>0</v>
      </c>
      <c r="H91" s="51">
        <f t="shared" si="55"/>
        <v>0</v>
      </c>
      <c r="I91" s="51">
        <f t="shared" si="55"/>
        <v>0</v>
      </c>
      <c r="J91" s="51">
        <f t="shared" si="55"/>
        <v>0</v>
      </c>
    </row>
    <row r="92" spans="2:10" hidden="1" outlineLevel="1">
      <c r="B92" s="48" t="str">
        <f>"if &gt;= "&amp;C92</f>
        <v>if &gt;= 17500</v>
      </c>
      <c r="C92" s="41">
        <v>17500</v>
      </c>
      <c r="D92" s="51">
        <f>IF(D76&gt;=$C$92,D76,0)</f>
        <v>0</v>
      </c>
      <c r="E92" s="51">
        <f t="shared" ref="E92:J92" si="56">IF(E76&gt;=$C$92,E76,0)</f>
        <v>0</v>
      </c>
      <c r="F92" s="51">
        <f t="shared" si="56"/>
        <v>0</v>
      </c>
      <c r="G92" s="51">
        <f t="shared" si="56"/>
        <v>18668.375000000004</v>
      </c>
      <c r="H92" s="51">
        <f t="shared" si="56"/>
        <v>20342.712500000009</v>
      </c>
      <c r="I92" s="51">
        <f t="shared" si="56"/>
        <v>22184.48375000001</v>
      </c>
      <c r="J92" s="51">
        <f t="shared" si="56"/>
        <v>24210.432125000014</v>
      </c>
    </row>
    <row r="93" spans="2:10" hidden="1" outlineLevel="1">
      <c r="B93" s="48" t="s">
        <v>30</v>
      </c>
      <c r="D93" s="53">
        <f>SUM(D91:D92)</f>
        <v>13700</v>
      </c>
      <c r="E93" s="53">
        <f t="shared" ref="E93:J93" si="57">SUM(E91:E92)</f>
        <v>15412.5</v>
      </c>
      <c r="F93" s="53">
        <f t="shared" si="57"/>
        <v>17146.250000000004</v>
      </c>
      <c r="G93" s="53">
        <f t="shared" si="57"/>
        <v>18668.375000000004</v>
      </c>
      <c r="H93" s="53">
        <f t="shared" si="57"/>
        <v>20342.712500000009</v>
      </c>
      <c r="I93" s="53">
        <f t="shared" si="57"/>
        <v>22184.48375000001</v>
      </c>
      <c r="J93" s="53">
        <f t="shared" si="57"/>
        <v>24210.432125000014</v>
      </c>
    </row>
    <row r="94" spans="2:10" hidden="1" outlineLevel="1"/>
    <row r="95" spans="2:10" hidden="1" outlineLevel="1">
      <c r="B95" s="6" t="s">
        <v>43</v>
      </c>
      <c r="D95" t="str">
        <f>IF(D93=D76,"OK","Error")</f>
        <v>OK</v>
      </c>
      <c r="E95" t="str">
        <f t="shared" ref="E95:J95" si="58">IF(E93=E76,"OK","Error")</f>
        <v>OK</v>
      </c>
      <c r="F95" t="str">
        <f t="shared" si="58"/>
        <v>OK</v>
      </c>
      <c r="G95" t="str">
        <f t="shared" si="58"/>
        <v>OK</v>
      </c>
      <c r="H95" t="str">
        <f t="shared" si="58"/>
        <v>OK</v>
      </c>
      <c r="I95" t="str">
        <f t="shared" si="58"/>
        <v>OK</v>
      </c>
      <c r="J95" t="str">
        <f t="shared" si="58"/>
        <v>OK</v>
      </c>
    </row>
    <row r="96" spans="2:10" hidden="1" outlineLevel="1">
      <c r="D96" t="b">
        <f>D93=D76</f>
        <v>1</v>
      </c>
      <c r="E96" t="b">
        <f t="shared" ref="E96:J96" si="59">E93=E76</f>
        <v>1</v>
      </c>
      <c r="F96" t="b">
        <f t="shared" si="59"/>
        <v>1</v>
      </c>
      <c r="G96" t="b">
        <f t="shared" si="59"/>
        <v>1</v>
      </c>
      <c r="H96" t="b">
        <f t="shared" si="59"/>
        <v>1</v>
      </c>
      <c r="I96" t="b">
        <f t="shared" si="59"/>
        <v>1</v>
      </c>
      <c r="J96" t="b">
        <f t="shared" si="59"/>
        <v>1</v>
      </c>
    </row>
    <row r="97" collapsed="1"/>
  </sheetData>
  <conditionalFormatting sqref="D29:J38">
    <cfRule type="cellIs" dxfId="1" priority="2" operator="lessThan">
      <formula>0.1</formula>
    </cfRule>
  </conditionalFormatting>
  <conditionalFormatting sqref="D46:J46">
    <cfRule type="cellIs" dxfId="0" priority="1" operator="greaterThan">
      <formula>15000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Model-practice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Giri</dc:creator>
  <cp:lastModifiedBy>Akanksha Giri</cp:lastModifiedBy>
  <dcterms:created xsi:type="dcterms:W3CDTF">2025-08-26T08:37:29Z</dcterms:created>
  <dcterms:modified xsi:type="dcterms:W3CDTF">2025-09-05T07:01:44Z</dcterms:modified>
</cp:coreProperties>
</file>